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8_{83CC6463-83B5-486B-B1FF-BBBEA33058D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Backlog Sprint 2" sheetId="1" r:id="rId1"/>
    <sheet name="Backlog 2A-2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M11" i="1"/>
  <c r="L11" i="1"/>
  <c r="K11" i="1"/>
  <c r="J11" i="1"/>
  <c r="I11" i="1"/>
  <c r="F40" i="2"/>
  <c r="E40" i="2"/>
  <c r="D40" i="2"/>
  <c r="F32" i="2"/>
  <c r="E32" i="2"/>
  <c r="D32" i="2"/>
  <c r="F24" i="2"/>
  <c r="E24" i="2"/>
  <c r="D24" i="2"/>
  <c r="F16" i="2"/>
  <c r="E16" i="2"/>
  <c r="D16" i="2"/>
  <c r="F23" i="1"/>
  <c r="E23" i="1"/>
  <c r="D23" i="1"/>
  <c r="C23" i="1"/>
  <c r="B23" i="1"/>
  <c r="A23" i="1"/>
</calcChain>
</file>

<file path=xl/sharedStrings.xml><?xml version="1.0" encoding="utf-8"?>
<sst xmlns="http://schemas.openxmlformats.org/spreadsheetml/2006/main" count="222" uniqueCount="67">
  <si>
    <t>BACKLOG — SPRINT 2</t>
  </si>
  <si>
    <t>ID</t>
  </si>
  <si>
    <t>Área</t>
  </si>
  <si>
    <t>Demanda</t>
  </si>
  <si>
    <t>Pontuação</t>
  </si>
  <si>
    <t>Prioridade</t>
  </si>
  <si>
    <t>Classificação</t>
  </si>
  <si>
    <t>Pesquisa e Inovação</t>
  </si>
  <si>
    <t>Atualizar projeto no GitHub e documentação do projeto</t>
  </si>
  <si>
    <t>Alta</t>
  </si>
  <si>
    <t>Essencial</t>
  </si>
  <si>
    <t>Criar planilha de riscos do projeto</t>
  </si>
  <si>
    <t>Média</t>
  </si>
  <si>
    <t>Importante</t>
  </si>
  <si>
    <t>Especificar a Dashboard</t>
  </si>
  <si>
    <t>Algoritmos</t>
  </si>
  <si>
    <t>Desenvolver site estático institucional em HTML/CSS/JavaScript com repetições</t>
  </si>
  <si>
    <t>Desenvolver site estático da Dashboard com gráfico em ChartJS</t>
  </si>
  <si>
    <t>Desenvolver site estático de Cadastro e Login</t>
  </si>
  <si>
    <t>Tecnologia da Informação</t>
  </si>
  <si>
    <t>Criar Diagrama de Solução / Arquitetura Técnica do Projeto</t>
  </si>
  <si>
    <t>Organizar atividades na ferramenta de gestão por Sprints e atividades</t>
  </si>
  <si>
    <t>Criar e manter o Backlog da Sprint</t>
  </si>
  <si>
    <t>Banco de Dados</t>
  </si>
  <si>
    <t>Criar Modelagem Lógica do Projeto v1</t>
  </si>
  <si>
    <t>Criar script do banco e tabelas em banco local</t>
  </si>
  <si>
    <t>Arquitetura Computacional</t>
  </si>
  <si>
    <t>Testar o sensor do projeto e gerar gráficos simulando a integração do sistema</t>
  </si>
  <si>
    <t>Usar API local integrada ao sensor</t>
  </si>
  <si>
    <t>Sistemas Operacionais</t>
  </si>
  <si>
    <t>Instalar MySQL no servidor de dados da solução (VM Linux)</t>
  </si>
  <si>
    <t>Inserir dados do Arduino no MySQL da VM Linux</t>
  </si>
  <si>
    <t>Validar a solução técnica e o Diagrama da Solução</t>
  </si>
  <si>
    <t>RESUMO DO BACKLOG</t>
  </si>
  <si>
    <t>Total de demandas</t>
  </si>
  <si>
    <t>Pontos totais</t>
  </si>
  <si>
    <t>Essenciais</t>
  </si>
  <si>
    <t>Importantes</t>
  </si>
  <si>
    <t>Prioridade Alta</t>
  </si>
  <si>
    <t>Prioridade Média</t>
  </si>
  <si>
    <t>BACKLOG DA SPRINT 2 — DIVISÃO SEMANAL</t>
  </si>
  <si>
    <t>Sprint 2A • Sprint 2B • Sprint 2C • Sprint 2D</t>
  </si>
  <si>
    <t>Sprint</t>
  </si>
  <si>
    <t>Demandas</t>
  </si>
  <si>
    <t>Pontos</t>
  </si>
  <si>
    <t>Foco</t>
  </si>
  <si>
    <t>2A</t>
  </si>
  <si>
    <t>Organização e planejamento</t>
  </si>
  <si>
    <t>2B</t>
  </si>
  <si>
    <t>Arquitetura e banco</t>
  </si>
  <si>
    <t>2C</t>
  </si>
  <si>
    <t>Desenvolvimento</t>
  </si>
  <si>
    <t>2D</t>
  </si>
  <si>
    <t>Integração e validação</t>
  </si>
  <si>
    <t>SPRINT 2A — Organização, documentação e planejamento da execução.</t>
  </si>
  <si>
    <t>TOTAL SPRINT 2A</t>
  </si>
  <si>
    <t>SPRINT 2B — Definição da solução, dashboard e estrutura de dados.</t>
  </si>
  <si>
    <t>TOTAL SPRINT 2B</t>
  </si>
  <si>
    <t>SPRINT 2C — Construção das interfaces e preparação do ambiente.</t>
  </si>
  <si>
    <t>TOTAL SPRINT 2C</t>
  </si>
  <si>
    <t>SPRINT 2D — Integração sensor–sistema–banco e validação técnica.</t>
  </si>
  <si>
    <t>TOTAL SPRINT 2D</t>
  </si>
  <si>
    <t>A divisão em 2A, 2B, 2C e 2D foi organizada por dependência: primeiro planejamento, depois arquitetura/banco, em seguida desenvolvimento e, por último, integração e validação.</t>
  </si>
  <si>
    <t xml:space="preserve"> </t>
  </si>
  <si>
    <t>Atualizar projeto no GitHub</t>
  </si>
  <si>
    <t>Atualizar  documentação do projeto</t>
  </si>
  <si>
    <t>BACKLOG — SPRINT 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</si>
</sst>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0"/>
      <color rgb="FF26332D"/>
      <name val="Carlito"/>
    </font>
    <font>
      <sz val="10"/>
      <color rgb="FF26332D"/>
      <name val="Carlito"/>
    </font>
    <font>
      <b/>
      <sz val="16"/>
      <color rgb="FFFFFFFF"/>
      <name val="Carlito"/>
    </font>
    <font>
      <sz val="10"/>
      <color rgb="FF26332D"/>
      <name val="Carlito"/>
    </font>
    <font>
      <b/>
      <sz val="10"/>
      <color rgb="FFFFFFFF"/>
      <name val="Carlito"/>
    </font>
    <font>
      <b/>
      <sz val="11"/>
      <color rgb="FF2F4F43"/>
      <name val="Carlito"/>
    </font>
    <font>
      <b/>
      <sz val="10"/>
      <color rgb="FF2F4F43"/>
      <name val="Carlito"/>
    </font>
    <font>
      <i/>
      <sz val="9"/>
      <color rgb="FF59645F"/>
      <name val="Carlito"/>
    </font>
    <font>
      <b/>
      <sz val="9"/>
      <color rgb="FFFFFFFF"/>
      <name val="Carlito"/>
    </font>
    <font>
      <b/>
      <sz val="16"/>
      <color rgb="FFFFFFFF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F4F43"/>
      </patternFill>
    </fill>
    <fill>
      <patternFill patternType="solid">
        <fgColor rgb="FFEEF4F0"/>
      </patternFill>
    </fill>
    <fill>
      <patternFill patternType="solid">
        <fgColor rgb="FF6F8178"/>
      </patternFill>
    </fill>
    <fill>
      <patternFill patternType="solid">
        <fgColor rgb="FFDDE9E2"/>
      </patternFill>
    </fill>
    <fill>
      <patternFill patternType="solid">
        <fgColor rgb="FF46685B"/>
      </patternFill>
    </fill>
    <fill>
      <patternFill patternType="solid">
        <fgColor rgb="FFE9E1F3"/>
      </patternFill>
    </fill>
    <fill>
      <patternFill patternType="solid">
        <fgColor rgb="FFF8E1E1"/>
      </patternFill>
    </fill>
    <fill>
      <patternFill patternType="solid">
        <fgColor rgb="FFE3EFE7"/>
      </patternFill>
    </fill>
    <fill>
      <patternFill patternType="solid">
        <fgColor rgb="FFFAF0D2"/>
      </patternFill>
    </fill>
    <fill>
      <patternFill patternType="solid">
        <fgColor rgb="FFEEEEEE"/>
      </patternFill>
    </fill>
    <fill>
      <patternFill patternType="solid">
        <fgColor rgb="FFDCEAF7"/>
      </patternFill>
    </fill>
    <fill>
      <patternFill patternType="solid">
        <fgColor rgb="FFDCEEDF"/>
      </patternFill>
    </fill>
    <fill>
      <patternFill patternType="solid">
        <fgColor rgb="FFFBE7C6"/>
      </patternFill>
    </fill>
    <fill>
      <patternFill patternType="solid">
        <fgColor rgb="FFF3DFE7"/>
      </patternFill>
    </fill>
    <fill>
      <patternFill patternType="solid">
        <fgColor rgb="FFFFF0C9"/>
      </patternFill>
    </fill>
    <fill>
      <patternFill patternType="solid">
        <fgColor rgb="FFF4F5F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thin">
        <color rgb="FF0B6B3A"/>
      </left>
      <right/>
      <top style="thin">
        <color rgb="FF0B6B3A"/>
      </top>
      <bottom style="thin">
        <color rgb="FF0B6B3A"/>
      </bottom>
      <diagonal/>
    </border>
    <border>
      <left/>
      <right/>
      <top style="thin">
        <color rgb="FF0B6B3A"/>
      </top>
      <bottom style="thin">
        <color rgb="FF0B6B3A"/>
      </bottom>
      <diagonal/>
    </border>
    <border>
      <left/>
      <right style="thin">
        <color rgb="FF0B6B3A"/>
      </right>
      <top style="thin">
        <color rgb="FF0B6B3A"/>
      </top>
      <bottom style="thin">
        <color rgb="FF0B6B3A"/>
      </bottom>
      <diagonal/>
    </border>
    <border>
      <left style="thin">
        <color rgb="FF0B6B3A"/>
      </left>
      <right/>
      <top style="thin">
        <color rgb="FF0B6B3A"/>
      </top>
      <bottom style="thin">
        <color rgb="FF0B6B3A"/>
      </bottom>
      <diagonal/>
    </border>
    <border>
      <left/>
      <right/>
      <top style="thin">
        <color rgb="FF0B6B3A"/>
      </top>
      <bottom style="thin">
        <color rgb="FF0B6B3A"/>
      </bottom>
      <diagonal/>
    </border>
    <border>
      <left/>
      <right style="thin">
        <color rgb="FF0B6B3A"/>
      </right>
      <top style="thin">
        <color rgb="FF0B6B3A"/>
      </top>
      <bottom style="thin">
        <color rgb="FF0B6B3A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7DDD9"/>
      </left>
      <right/>
      <top style="thin">
        <color rgb="FFD7DDD9"/>
      </top>
      <bottom/>
      <diagonal/>
    </border>
    <border>
      <left/>
      <right/>
      <top style="thin">
        <color rgb="FFD7DDD9"/>
      </top>
      <bottom/>
      <diagonal/>
    </border>
    <border>
      <left/>
      <right style="thin">
        <color rgb="FFD7DDD9"/>
      </right>
      <top style="thin">
        <color rgb="FFD7DDD9"/>
      </top>
      <bottom/>
      <diagonal/>
    </border>
    <border>
      <left style="thin">
        <color rgb="FFD7DDD9"/>
      </left>
      <right/>
      <top/>
      <bottom/>
      <diagonal/>
    </border>
    <border>
      <left/>
      <right style="thin">
        <color rgb="FFD7DDD9"/>
      </right>
      <top/>
      <bottom/>
      <diagonal/>
    </border>
    <border>
      <left style="thin">
        <color rgb="FFD7DDD9"/>
      </left>
      <right/>
      <top/>
      <bottom style="thin">
        <color rgb="FFD7DDD9"/>
      </bottom>
      <diagonal/>
    </border>
    <border>
      <left/>
      <right/>
      <top/>
      <bottom style="thin">
        <color rgb="FFD7DDD9"/>
      </bottom>
      <diagonal/>
    </border>
    <border>
      <left/>
      <right style="thin">
        <color rgb="FFD7DDD9"/>
      </right>
      <top/>
      <bottom style="thin">
        <color rgb="FFD7DDD9"/>
      </bottom>
      <diagonal/>
    </border>
    <border>
      <left/>
      <right/>
      <top/>
      <bottom style="thin">
        <color rgb="FFBFCBC4"/>
      </bottom>
      <diagonal/>
    </border>
    <border>
      <left/>
      <right/>
      <top style="thin">
        <color rgb="FFBFCBC4"/>
      </top>
      <bottom style="thin">
        <color rgb="FFBFCBC4"/>
      </bottom>
      <diagonal/>
    </border>
    <border>
      <left style="thin">
        <color rgb="FFD7DDD9"/>
      </left>
      <right/>
      <top style="thin">
        <color rgb="FFD7DDD9"/>
      </top>
      <bottom style="thin">
        <color theme="4" tint="0.39997558519241921"/>
      </bottom>
      <diagonal/>
    </border>
    <border>
      <left/>
      <right/>
      <top style="thin">
        <color rgb="FFD7DDD9"/>
      </top>
      <bottom style="thin">
        <color theme="4" tint="0.39997558519241921"/>
      </bottom>
      <diagonal/>
    </border>
    <border>
      <left/>
      <right style="thin">
        <color rgb="FFD7DDD9"/>
      </right>
      <top style="thin">
        <color rgb="FFD7DDD9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D7DDD9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0B6B3A"/>
      </bottom>
      <diagonal/>
    </border>
    <border>
      <left style="thin">
        <color rgb="FF16A34A"/>
      </left>
      <right/>
      <top style="thin">
        <color rgb="FF16A34A"/>
      </top>
      <bottom/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vertical="center" wrapText="1"/>
    </xf>
    <xf numFmtId="0" fontId="2" fillId="11" borderId="0" xfId="0" applyFont="1" applyFill="1" applyAlignment="1">
      <alignment horizontal="center" vertical="center" wrapText="1"/>
    </xf>
    <xf numFmtId="0" fontId="1" fillId="12" borderId="1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vertical="center" wrapText="1"/>
    </xf>
    <xf numFmtId="0" fontId="2" fillId="9" borderId="0" xfId="0" applyFont="1" applyFill="1" applyAlignment="1">
      <alignment horizontal="center" vertical="center" wrapText="1"/>
    </xf>
    <xf numFmtId="0" fontId="1" fillId="10" borderId="15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vertical="center" wrapText="1"/>
    </xf>
    <xf numFmtId="0" fontId="2" fillId="11" borderId="17" xfId="0" applyFont="1" applyFill="1" applyBorder="1" applyAlignment="1">
      <alignment horizontal="center" vertical="center" wrapText="1"/>
    </xf>
    <xf numFmtId="0" fontId="1" fillId="12" borderId="18" xfId="0" applyFont="1" applyFill="1" applyBorder="1" applyAlignment="1">
      <alignment horizontal="center" vertical="center" wrapText="1"/>
    </xf>
    <xf numFmtId="0" fontId="1" fillId="13" borderId="12" xfId="0" applyFont="1" applyFill="1" applyBorder="1" applyAlignment="1">
      <alignment vertical="center" wrapText="1"/>
    </xf>
    <xf numFmtId="0" fontId="1" fillId="14" borderId="0" xfId="0" applyFont="1" applyFill="1" applyAlignment="1">
      <alignment vertical="center" wrapText="1"/>
    </xf>
    <xf numFmtId="0" fontId="1" fillId="14" borderId="17" xfId="0" applyFont="1" applyFill="1" applyBorder="1" applyAlignment="1">
      <alignment vertical="center" wrapText="1"/>
    </xf>
    <xf numFmtId="0" fontId="2" fillId="9" borderId="17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1" fillId="15" borderId="12" xfId="0" applyFont="1" applyFill="1" applyBorder="1" applyAlignment="1">
      <alignment vertical="center" wrapText="1"/>
    </xf>
    <xf numFmtId="0" fontId="1" fillId="15" borderId="0" xfId="0" applyFont="1" applyFill="1" applyAlignment="1">
      <alignment vertical="center" wrapText="1"/>
    </xf>
    <xf numFmtId="0" fontId="1" fillId="16" borderId="17" xfId="0" applyFont="1" applyFill="1" applyBorder="1" applyAlignment="1">
      <alignment vertical="center" wrapText="1"/>
    </xf>
    <xf numFmtId="0" fontId="1" fillId="17" borderId="12" xfId="0" applyFont="1" applyFill="1" applyBorder="1" applyAlignment="1">
      <alignment vertical="center" wrapText="1"/>
    </xf>
    <xf numFmtId="0" fontId="1" fillId="17" borderId="0" xfId="0" applyFont="1" applyFill="1" applyAlignment="1">
      <alignment vertical="center" wrapText="1"/>
    </xf>
    <xf numFmtId="0" fontId="1" fillId="16" borderId="0" xfId="0" applyFont="1" applyFill="1" applyAlignment="1">
      <alignment vertical="center" wrapText="1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18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6" fillId="6" borderId="19" xfId="0" applyFont="1" applyFill="1" applyBorder="1" applyAlignment="1">
      <alignment vertical="center"/>
    </xf>
    <xf numFmtId="0" fontId="7" fillId="4" borderId="2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9" borderId="22" xfId="0" applyFont="1" applyFill="1" applyBorder="1" applyAlignment="1">
      <alignment horizontal="center" vertical="center" wrapText="1"/>
    </xf>
    <xf numFmtId="0" fontId="1" fillId="10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1" fillId="13" borderId="22" xfId="0" applyFont="1" applyFill="1" applyBorder="1" applyAlignment="1">
      <alignment horizontal="center" vertical="center" wrapText="1"/>
    </xf>
    <xf numFmtId="0" fontId="1" fillId="14" borderId="24" xfId="0" applyFont="1" applyFill="1" applyBorder="1" applyAlignment="1">
      <alignment vertical="center" wrapText="1"/>
    </xf>
    <xf numFmtId="0" fontId="2" fillId="9" borderId="24" xfId="0" applyFont="1" applyFill="1" applyBorder="1" applyAlignment="1">
      <alignment horizontal="center" vertical="center" wrapText="1"/>
    </xf>
    <xf numFmtId="0" fontId="1" fillId="10" borderId="2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6" fillId="4" borderId="27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</cellXfs>
  <cellStyles count="1">
    <cellStyle name="Normal" xfId="0" builtinId="0"/>
  </cellStyles>
  <dxfs count="53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/>
        <color rgb="FF123524"/>
      </font>
      <fill>
        <patternFill>
          <bgColor rgb="FF84CC16"/>
        </patternFill>
      </fill>
    </dxf>
    <dxf>
      <font>
        <b/>
        <color rgb="FFFFFFFF"/>
      </font>
      <fill>
        <patternFill>
          <bgColor rgb="FF16A34A"/>
        </patternFill>
      </fill>
    </dxf>
    <dxf>
      <font>
        <b/>
        <color rgb="FF123524"/>
      </font>
      <fill>
        <patternFill>
          <bgColor rgb="FF84CC16"/>
        </patternFill>
      </fill>
    </dxf>
    <dxf>
      <font>
        <b/>
        <color rgb="FFFFFFFF"/>
      </font>
      <fill>
        <patternFill>
          <bgColor rgb="FF16A34A"/>
        </patternFill>
      </fill>
    </dxf>
    <dxf>
      <font>
        <b/>
        <color rgb="FF123524"/>
      </font>
      <fill>
        <patternFill>
          <bgColor rgb="FF84CC16"/>
        </patternFill>
      </fill>
    </dxf>
    <dxf>
      <font>
        <b/>
        <color rgb="FFFFFFFF"/>
      </font>
      <fill>
        <patternFill>
          <bgColor rgb="FF16A34A"/>
        </patternFill>
      </fill>
    </dxf>
    <dxf>
      <font>
        <b/>
        <color rgb="FF123524"/>
      </font>
      <fill>
        <patternFill>
          <bgColor rgb="FF84CC16"/>
        </patternFill>
      </fill>
    </dxf>
    <dxf>
      <font>
        <b/>
        <color rgb="FFFFFFFF"/>
      </font>
      <fill>
        <patternFill>
          <bgColor rgb="FF16A34A"/>
        </patternFill>
      </fill>
    </dxf>
    <dxf>
      <font>
        <b/>
      </font>
      <fill>
        <patternFill>
          <bgColor rgb="FFDCFCE7"/>
        </patternFill>
      </fill>
    </dxf>
    <dxf>
      <font>
        <b/>
      </font>
      <fill>
        <patternFill>
          <bgColor rgb="FFFDE047"/>
        </patternFill>
      </fill>
    </dxf>
    <dxf>
      <font>
        <b/>
      </font>
      <fill>
        <patternFill>
          <bgColor rgb="FFF87171"/>
        </patternFill>
      </fill>
    </dxf>
    <dxf>
      <font>
        <b/>
      </font>
      <fill>
        <patternFill>
          <bgColor rgb="FFDCFCE7"/>
        </patternFill>
      </fill>
    </dxf>
    <dxf>
      <font>
        <b/>
      </font>
      <fill>
        <patternFill>
          <bgColor rgb="FFFDE047"/>
        </patternFill>
      </fill>
    </dxf>
    <dxf>
      <font>
        <b/>
      </font>
      <fill>
        <patternFill>
          <bgColor rgb="FFF87171"/>
        </patternFill>
      </fill>
    </dxf>
    <dxf>
      <font>
        <b/>
      </font>
      <fill>
        <patternFill>
          <bgColor rgb="FFDCFCE7"/>
        </patternFill>
      </fill>
    </dxf>
    <dxf>
      <font>
        <b/>
      </font>
      <fill>
        <patternFill>
          <bgColor rgb="FFFDE047"/>
        </patternFill>
      </fill>
    </dxf>
    <dxf>
      <font>
        <b/>
      </font>
      <fill>
        <patternFill>
          <bgColor rgb="FFF87171"/>
        </patternFill>
      </fill>
    </dxf>
    <dxf>
      <font>
        <b/>
      </font>
      <fill>
        <patternFill>
          <bgColor rgb="FFDCFCE7"/>
        </patternFill>
      </fill>
    </dxf>
    <dxf>
      <font>
        <b/>
      </font>
      <fill>
        <patternFill>
          <bgColor rgb="FFFDE047"/>
        </patternFill>
      </fill>
    </dxf>
    <dxf>
      <font>
        <b/>
      </font>
      <fill>
        <patternFill>
          <bgColor rgb="FFF87171"/>
        </patternFill>
      </fill>
    </dxf>
    <dxf>
      <font>
        <b/>
        <color rgb="FF123524"/>
      </font>
      <fill>
        <patternFill>
          <bgColor rgb="FF84CC16"/>
        </patternFill>
      </fill>
    </dxf>
    <dxf>
      <font>
        <b/>
        <color rgb="FFFFFFFF"/>
      </font>
      <fill>
        <patternFill>
          <bgColor rgb="FF16A34A"/>
        </patternFill>
      </fill>
    </dxf>
    <dxf>
      <font>
        <b/>
      </font>
      <fill>
        <patternFill>
          <bgColor rgb="FFDCFCE7"/>
        </patternFill>
      </fill>
    </dxf>
    <dxf>
      <font>
        <b/>
      </font>
      <fill>
        <patternFill>
          <bgColor rgb="FFFDE047"/>
        </patternFill>
      </fill>
    </dxf>
    <dxf>
      <font>
        <b/>
      </font>
      <fill>
        <patternFill>
          <bgColor rgb="FFF87171"/>
        </patternFill>
      </fill>
    </dxf>
    <dxf>
      <font>
        <b/>
        <color rgb="FF123524"/>
      </font>
      <fill>
        <patternFill>
          <bgColor rgb="FF84CC16"/>
        </patternFill>
      </fill>
    </dxf>
    <dxf>
      <font>
        <b/>
        <color rgb="FFFFFFFF"/>
      </font>
      <fill>
        <patternFill>
          <bgColor rgb="FF16A34A"/>
        </patternFill>
      </fill>
    </dxf>
    <dxf>
      <font>
        <b/>
      </font>
      <fill>
        <patternFill>
          <bgColor rgb="FFDCFCE7"/>
        </patternFill>
      </fill>
    </dxf>
    <dxf>
      <font>
        <b/>
      </font>
      <fill>
        <patternFill>
          <bgColor rgb="FFFDE047"/>
        </patternFill>
      </fill>
    </dxf>
    <dxf>
      <font>
        <b/>
      </font>
      <fill>
        <patternFill>
          <bgColor rgb="FFF87171"/>
        </patternFill>
      </fill>
    </dxf>
    <dxf>
      <font>
        <b/>
        <color rgb="FF123524"/>
      </font>
      <fill>
        <patternFill>
          <bgColor rgb="FF84CC16"/>
        </patternFill>
      </fill>
    </dxf>
    <dxf>
      <font>
        <b/>
        <color rgb="FFFFFFFF"/>
      </font>
      <fill>
        <patternFill>
          <bgColor rgb="FF16A34A"/>
        </patternFill>
      </fill>
    </dxf>
    <dxf>
      <font>
        <b/>
      </font>
      <fill>
        <patternFill>
          <bgColor rgb="FFDCFCE7"/>
        </patternFill>
      </fill>
    </dxf>
    <dxf>
      <font>
        <b/>
      </font>
      <fill>
        <patternFill>
          <bgColor rgb="FFFDE047"/>
        </patternFill>
      </fill>
    </dxf>
    <dxf>
      <font>
        <b/>
      </font>
      <fill>
        <patternFill>
          <bgColor rgb="FFF87171"/>
        </patternFill>
      </fill>
    </dxf>
    <dxf>
      <font>
        <b/>
        <color rgb="FF123524"/>
      </font>
      <fill>
        <patternFill>
          <bgColor rgb="FF84CC16"/>
        </patternFill>
      </fill>
    </dxf>
    <dxf>
      <font>
        <b/>
        <color rgb="FFFFFFFF"/>
      </font>
      <fill>
        <patternFill>
          <bgColor rgb="FF16A34A"/>
        </patternFill>
      </fill>
    </dxf>
    <dxf>
      <font>
        <b/>
      </font>
      <fill>
        <patternFill>
          <bgColor rgb="FFDCFCE7"/>
        </patternFill>
      </fill>
    </dxf>
    <dxf>
      <font>
        <b/>
      </font>
      <fill>
        <patternFill>
          <bgColor rgb="FFFDE047"/>
        </patternFill>
      </fill>
    </dxf>
    <dxf>
      <font>
        <b/>
      </font>
      <fill>
        <patternFill>
          <bgColor rgb="FFF87171"/>
        </patternFill>
      </fill>
    </dxf>
    <dxf>
      <font>
        <b/>
        <color rgb="FF123524"/>
      </font>
      <fill>
        <patternFill>
          <bgColor rgb="FF84CC16"/>
        </patternFill>
      </fill>
    </dxf>
    <dxf>
      <font>
        <b/>
        <color rgb="FFFFFFFF"/>
      </font>
      <fill>
        <patternFill>
          <bgColor rgb="FF16A34A"/>
        </patternFill>
      </fill>
    </dxf>
    <dxf>
      <font>
        <b/>
      </font>
      <fill>
        <patternFill>
          <bgColor rgb="FFDCFCE7"/>
        </patternFill>
      </fill>
    </dxf>
    <dxf>
      <font>
        <b/>
      </font>
      <fill>
        <patternFill>
          <bgColor rgb="FFFDE047"/>
        </patternFill>
      </fill>
    </dxf>
    <dxf>
      <font>
        <b/>
      </font>
      <fill>
        <patternFill>
          <bgColor rgb="FFF8717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klogSprint2" displayName="BacklogSprint2" ref="A4:F20" totalsRowShown="0" headerRowDxfId="1" dataDxfId="0">
  <tableColumns count="6">
    <tableColumn id="1" xr3:uid="{00000000-0010-0000-0000-000001000000}" name="ID" dataDxfId="7"/>
    <tableColumn id="2" xr3:uid="{00000000-0010-0000-0000-000002000000}" name="Área" dataDxfId="6"/>
    <tableColumn id="3" xr3:uid="{00000000-0010-0000-0000-000003000000}" name="Demanda" dataDxfId="5"/>
    <tableColumn id="4" xr3:uid="{00000000-0010-0000-0000-000004000000}" name="Pontuação" dataDxfId="4"/>
    <tableColumn id="5" xr3:uid="{00000000-0010-0000-0000-000005000000}" name="Prioridade" dataDxfId="3"/>
    <tableColumn id="6" xr3:uid="{00000000-0010-0000-0000-000006000000}" name="Classificação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cklogSprint2A" displayName="BacklogSprint2A" ref="A11:F15" totalsRowShown="0">
  <tableColumns count="6">
    <tableColumn id="1" xr3:uid="{00000000-0010-0000-0100-000001000000}" name="ID"/>
    <tableColumn id="2" xr3:uid="{00000000-0010-0000-0100-000002000000}" name="Área"/>
    <tableColumn id="3" xr3:uid="{00000000-0010-0000-0100-000003000000}" name="Demanda"/>
    <tableColumn id="4" xr3:uid="{00000000-0010-0000-0100-000004000000}" name="Pontuação"/>
    <tableColumn id="5" xr3:uid="{00000000-0010-0000-0100-000005000000}" name="Prioridade"/>
    <tableColumn id="6" xr3:uid="{00000000-0010-0000-0100-000006000000}" name="Classific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acklogSprint2B" displayName="BacklogSprint2B" ref="A19:F23" totalsRowShown="0">
  <tableColumns count="6">
    <tableColumn id="1" xr3:uid="{00000000-0010-0000-0200-000001000000}" name="ID"/>
    <tableColumn id="2" xr3:uid="{00000000-0010-0000-0200-000002000000}" name="Área"/>
    <tableColumn id="3" xr3:uid="{00000000-0010-0000-0200-000003000000}" name="Demanda"/>
    <tableColumn id="4" xr3:uid="{00000000-0010-0000-0200-000004000000}" name="Pontuação"/>
    <tableColumn id="5" xr3:uid="{00000000-0010-0000-0200-000005000000}" name="Prioridade"/>
    <tableColumn id="6" xr3:uid="{00000000-0010-0000-0200-000006000000}" name="Classifica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cklogSprint2C" displayName="BacklogSprint2C" ref="A27:F31" totalsRowShown="0">
  <tableColumns count="6">
    <tableColumn id="1" xr3:uid="{00000000-0010-0000-0300-000001000000}" name="ID"/>
    <tableColumn id="2" xr3:uid="{00000000-0010-0000-0300-000002000000}" name="Área"/>
    <tableColumn id="3" xr3:uid="{00000000-0010-0000-0300-000003000000}" name="Demanda"/>
    <tableColumn id="4" xr3:uid="{00000000-0010-0000-0300-000004000000}" name="Pontuação"/>
    <tableColumn id="5" xr3:uid="{00000000-0010-0000-0300-000005000000}" name="Prioridade"/>
    <tableColumn id="6" xr3:uid="{00000000-0010-0000-0300-000006000000}" name="Classific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acklogSprint2D" displayName="BacklogSprint2D" ref="A35:F39" totalsRowShown="0">
  <tableColumns count="6">
    <tableColumn id="1" xr3:uid="{00000000-0010-0000-0400-000001000000}" name="ID"/>
    <tableColumn id="2" xr3:uid="{00000000-0010-0000-0400-000002000000}" name="Área"/>
    <tableColumn id="3" xr3:uid="{00000000-0010-0000-0400-000003000000}" name="Demanda"/>
    <tableColumn id="4" xr3:uid="{00000000-0010-0000-0400-000004000000}" name="Pontuação"/>
    <tableColumn id="5" xr3:uid="{00000000-0010-0000-0400-000005000000}" name="Prioridade"/>
    <tableColumn id="6" xr3:uid="{00000000-0010-0000-0400-000006000000}" name="Classific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topLeftCell="B9" zoomScaleNormal="100" workbookViewId="0">
      <selection activeCell="B27" sqref="B27"/>
    </sheetView>
  </sheetViews>
  <sheetFormatPr defaultRowHeight="14.25"/>
  <cols>
    <col min="1" max="1" width="7" customWidth="1"/>
    <col min="2" max="2" width="24" customWidth="1"/>
    <col min="3" max="3" width="58" customWidth="1"/>
    <col min="4" max="4" width="12" customWidth="1"/>
    <col min="5" max="5" width="14" customWidth="1"/>
    <col min="6" max="6" width="16" customWidth="1"/>
    <col min="9" max="9" width="8.375" bestFit="1" customWidth="1"/>
    <col min="10" max="10" width="13.875" bestFit="1" customWidth="1"/>
    <col min="11" max="11" width="19.125" bestFit="1" customWidth="1"/>
    <col min="12" max="12" width="9.375" bestFit="1" customWidth="1"/>
    <col min="13" max="13" width="9.25" bestFit="1" customWidth="1"/>
    <col min="14" max="14" width="11.25" bestFit="1" customWidth="1"/>
  </cols>
  <sheetData>
    <row r="1" spans="1:20" ht="30" customHeight="1">
      <c r="A1" s="56" t="s">
        <v>0</v>
      </c>
      <c r="B1" s="56"/>
      <c r="C1" s="56"/>
      <c r="D1" s="56"/>
      <c r="E1" s="56"/>
      <c r="F1" s="56"/>
      <c r="G1" s="83"/>
      <c r="H1" s="83"/>
      <c r="I1" s="72" t="s">
        <v>66</v>
      </c>
      <c r="J1" s="56"/>
      <c r="K1" s="56"/>
      <c r="L1" s="56"/>
      <c r="M1" s="56"/>
      <c r="N1" s="56"/>
    </row>
    <row r="2" spans="1:20" ht="21.95" customHeight="1">
      <c r="A2" s="56"/>
      <c r="B2" s="56"/>
      <c r="C2" s="56"/>
      <c r="D2" s="56"/>
      <c r="E2" s="56"/>
      <c r="F2" s="56"/>
      <c r="G2" s="83"/>
      <c r="H2" s="83"/>
      <c r="I2" s="56"/>
      <c r="J2" s="56"/>
      <c r="K2" s="56"/>
      <c r="L2" s="56"/>
      <c r="M2" s="56"/>
      <c r="N2" s="56"/>
    </row>
    <row r="3" spans="1:20" ht="14.25" customHeight="1">
      <c r="A3" s="57"/>
      <c r="B3" s="57"/>
      <c r="C3" s="57"/>
      <c r="D3" s="57"/>
      <c r="E3" s="57"/>
      <c r="F3" s="57"/>
      <c r="G3" s="83"/>
      <c r="H3" s="83"/>
      <c r="I3" s="57"/>
      <c r="J3" s="57"/>
      <c r="K3" s="57"/>
      <c r="L3" s="57"/>
      <c r="M3" s="57"/>
      <c r="N3" s="57"/>
    </row>
    <row r="4" spans="1:20" ht="24" customHeight="1">
      <c r="A4" s="48" t="s">
        <v>1</v>
      </c>
      <c r="B4" s="49" t="s">
        <v>2</v>
      </c>
      <c r="C4" s="49" t="s">
        <v>3</v>
      </c>
      <c r="D4" s="49" t="s">
        <v>4</v>
      </c>
      <c r="E4" s="49" t="s">
        <v>5</v>
      </c>
      <c r="F4" s="50" t="s">
        <v>6</v>
      </c>
      <c r="G4" s="83"/>
      <c r="H4" s="83"/>
      <c r="I4" s="69" t="s">
        <v>1</v>
      </c>
      <c r="J4" s="70" t="s">
        <v>2</v>
      </c>
      <c r="K4" s="70" t="s">
        <v>3</v>
      </c>
      <c r="L4" s="70" t="s">
        <v>4</v>
      </c>
      <c r="M4" s="70" t="s">
        <v>5</v>
      </c>
      <c r="N4" s="71" t="s">
        <v>6</v>
      </c>
    </row>
    <row r="5" spans="1:20" ht="38.25" customHeight="1">
      <c r="A5" s="17">
        <v>1</v>
      </c>
      <c r="B5" s="37" t="s">
        <v>7</v>
      </c>
      <c r="C5" s="18" t="s">
        <v>8</v>
      </c>
      <c r="D5" s="19">
        <v>5</v>
      </c>
      <c r="E5" s="26" t="s">
        <v>9</v>
      </c>
      <c r="F5" s="27" t="s">
        <v>10</v>
      </c>
      <c r="G5" s="83"/>
      <c r="H5" s="83"/>
      <c r="I5" s="64">
        <v>1</v>
      </c>
      <c r="J5" s="65" t="s">
        <v>7</v>
      </c>
      <c r="K5" s="58" t="s">
        <v>64</v>
      </c>
      <c r="L5" s="59">
        <v>5</v>
      </c>
      <c r="M5" s="60" t="s">
        <v>9</v>
      </c>
      <c r="N5" s="61" t="s">
        <v>10</v>
      </c>
    </row>
    <row r="6" spans="1:20" ht="33.950000000000003" customHeight="1">
      <c r="A6" s="20">
        <v>2</v>
      </c>
      <c r="B6" s="31" t="s">
        <v>7</v>
      </c>
      <c r="C6" s="5" t="s">
        <v>11</v>
      </c>
      <c r="D6" s="6">
        <v>3</v>
      </c>
      <c r="E6" s="29" t="s">
        <v>12</v>
      </c>
      <c r="F6" s="30" t="s">
        <v>13</v>
      </c>
      <c r="G6" s="83"/>
      <c r="H6" s="83"/>
      <c r="I6" s="2">
        <v>2</v>
      </c>
      <c r="J6" s="65" t="s">
        <v>7</v>
      </c>
      <c r="K6" s="58" t="s">
        <v>65</v>
      </c>
      <c r="L6" s="59">
        <v>5</v>
      </c>
      <c r="M6" s="60" t="s">
        <v>9</v>
      </c>
      <c r="N6" s="61" t="s">
        <v>10</v>
      </c>
      <c r="P6" s="73"/>
      <c r="Q6" s="74"/>
      <c r="R6" s="75"/>
      <c r="S6" s="75"/>
      <c r="T6" s="76"/>
    </row>
    <row r="7" spans="1:20" ht="33.950000000000003" customHeight="1">
      <c r="A7" s="20">
        <v>3</v>
      </c>
      <c r="B7" s="31" t="s">
        <v>7</v>
      </c>
      <c r="C7" s="5" t="s">
        <v>14</v>
      </c>
      <c r="D7" s="6">
        <v>5</v>
      </c>
      <c r="E7" s="32" t="s">
        <v>9</v>
      </c>
      <c r="F7" s="33" t="s">
        <v>10</v>
      </c>
      <c r="G7" s="83"/>
      <c r="H7" s="83"/>
      <c r="I7" s="2">
        <v>3</v>
      </c>
      <c r="J7" s="66" t="s">
        <v>23</v>
      </c>
      <c r="K7" s="62" t="s">
        <v>24</v>
      </c>
      <c r="L7" s="63">
        <v>5</v>
      </c>
      <c r="M7" s="67" t="s">
        <v>9</v>
      </c>
      <c r="N7" s="68" t="s">
        <v>10</v>
      </c>
      <c r="P7" s="73"/>
      <c r="Q7" s="74"/>
      <c r="R7" s="75"/>
      <c r="S7" s="75"/>
      <c r="T7" s="76"/>
    </row>
    <row r="8" spans="1:20" ht="33.950000000000003" customHeight="1">
      <c r="A8" s="20">
        <v>4</v>
      </c>
      <c r="B8" s="43" t="s">
        <v>15</v>
      </c>
      <c r="C8" s="5" t="s">
        <v>16</v>
      </c>
      <c r="D8" s="6">
        <v>8</v>
      </c>
      <c r="E8" s="32" t="s">
        <v>9</v>
      </c>
      <c r="F8" s="33" t="s">
        <v>10</v>
      </c>
      <c r="G8" s="83"/>
      <c r="H8" s="83"/>
      <c r="I8" s="2">
        <v>4</v>
      </c>
      <c r="J8" s="66" t="s">
        <v>23</v>
      </c>
      <c r="K8" s="62" t="s">
        <v>25</v>
      </c>
      <c r="L8" s="63">
        <v>8</v>
      </c>
      <c r="M8" s="67" t="s">
        <v>9</v>
      </c>
      <c r="N8" s="68" t="s">
        <v>10</v>
      </c>
      <c r="P8" s="1"/>
      <c r="Q8" s="1"/>
      <c r="R8" s="1"/>
      <c r="S8" s="1"/>
      <c r="T8" s="1"/>
    </row>
    <row r="9" spans="1:20" ht="33.950000000000003" customHeight="1">
      <c r="A9" s="20">
        <v>5</v>
      </c>
      <c r="B9" s="43" t="s">
        <v>15</v>
      </c>
      <c r="C9" s="5" t="s">
        <v>17</v>
      </c>
      <c r="D9" s="6">
        <v>8</v>
      </c>
      <c r="E9" s="32" t="s">
        <v>9</v>
      </c>
      <c r="F9" s="33" t="s">
        <v>10</v>
      </c>
      <c r="G9" s="83"/>
      <c r="H9" s="83"/>
      <c r="I9" s="77" t="s">
        <v>33</v>
      </c>
      <c r="J9" s="77"/>
      <c r="K9" s="77"/>
      <c r="L9" s="77"/>
      <c r="M9" s="77"/>
      <c r="N9" s="77"/>
    </row>
    <row r="10" spans="1:20" ht="33.950000000000003" customHeight="1">
      <c r="A10" s="20">
        <v>6</v>
      </c>
      <c r="B10" s="43" t="s">
        <v>15</v>
      </c>
      <c r="C10" s="5" t="s">
        <v>18</v>
      </c>
      <c r="D10" s="6">
        <v>5</v>
      </c>
      <c r="E10" s="32" t="s">
        <v>9</v>
      </c>
      <c r="F10" s="33" t="s">
        <v>10</v>
      </c>
      <c r="G10" s="83"/>
      <c r="H10" s="83"/>
      <c r="I10" s="78" t="s">
        <v>34</v>
      </c>
      <c r="J10" s="78" t="s">
        <v>35</v>
      </c>
      <c r="K10" s="78" t="s">
        <v>36</v>
      </c>
      <c r="L10" s="78" t="s">
        <v>37</v>
      </c>
      <c r="M10" s="78" t="s">
        <v>38</v>
      </c>
      <c r="N10" s="78" t="s">
        <v>39</v>
      </c>
    </row>
    <row r="11" spans="1:20" ht="33.950000000000003" customHeight="1">
      <c r="A11" s="20">
        <v>7</v>
      </c>
      <c r="B11" s="28" t="s">
        <v>19</v>
      </c>
      <c r="C11" s="5" t="s">
        <v>20</v>
      </c>
      <c r="D11" s="6">
        <v>5</v>
      </c>
      <c r="E11" s="32" t="s">
        <v>9</v>
      </c>
      <c r="F11" s="33" t="s">
        <v>10</v>
      </c>
      <c r="G11" s="83"/>
      <c r="H11" s="83"/>
      <c r="I11" s="79">
        <f>COUNT(I5,I6,I7,I8)</f>
        <v>4</v>
      </c>
      <c r="J11" s="80">
        <f>SUM(L5,L6,L7,L8)</f>
        <v>23</v>
      </c>
      <c r="K11" s="80">
        <f>COUNTIF(N5:N8,"Essencial")</f>
        <v>4</v>
      </c>
      <c r="L11" s="80">
        <f>COUNTIF(M5:M8,"Importante")</f>
        <v>0</v>
      </c>
      <c r="M11" s="80">
        <f>COUNTIF(M5:M8,"Alta")</f>
        <v>4</v>
      </c>
      <c r="N11" s="81">
        <f>COUNTIF(M5:M8,"Média")</f>
        <v>0</v>
      </c>
    </row>
    <row r="12" spans="1:20" ht="33.950000000000003" customHeight="1">
      <c r="A12" s="20">
        <v>8</v>
      </c>
      <c r="B12" s="28" t="s">
        <v>19</v>
      </c>
      <c r="C12" s="5" t="s">
        <v>21</v>
      </c>
      <c r="D12" s="6">
        <v>3</v>
      </c>
      <c r="E12" s="29" t="s">
        <v>12</v>
      </c>
      <c r="F12" s="30" t="s">
        <v>13</v>
      </c>
      <c r="G12" s="83"/>
      <c r="H12" s="83"/>
      <c r="I12" s="83"/>
      <c r="J12" s="83"/>
      <c r="K12" s="83"/>
      <c r="L12" s="83"/>
      <c r="M12" s="83"/>
      <c r="N12" s="83"/>
    </row>
    <row r="13" spans="1:20" ht="33.950000000000003" customHeight="1">
      <c r="A13" s="20">
        <v>9</v>
      </c>
      <c r="B13" s="28" t="s">
        <v>19</v>
      </c>
      <c r="C13" s="5" t="s">
        <v>22</v>
      </c>
      <c r="D13" s="6">
        <v>3</v>
      </c>
      <c r="E13" s="32" t="s">
        <v>9</v>
      </c>
      <c r="F13" s="33" t="s">
        <v>10</v>
      </c>
      <c r="G13" s="83"/>
      <c r="H13" s="83"/>
      <c r="I13" s="83"/>
      <c r="J13" s="83"/>
      <c r="K13" s="83"/>
      <c r="L13" s="83"/>
      <c r="M13" s="83"/>
      <c r="N13" s="83"/>
    </row>
    <row r="14" spans="1:20" ht="33.950000000000003" customHeight="1">
      <c r="A14" s="20">
        <v>10</v>
      </c>
      <c r="B14" s="38" t="s">
        <v>23</v>
      </c>
      <c r="C14" s="5" t="s">
        <v>24</v>
      </c>
      <c r="D14" s="6">
        <v>5</v>
      </c>
      <c r="E14" s="32" t="s">
        <v>9</v>
      </c>
      <c r="F14" s="33" t="s">
        <v>10</v>
      </c>
      <c r="G14" s="83"/>
      <c r="H14" s="83"/>
      <c r="I14" s="83"/>
      <c r="J14" s="83"/>
      <c r="K14" s="83"/>
      <c r="L14" s="83"/>
      <c r="M14" s="83"/>
      <c r="N14" s="83"/>
    </row>
    <row r="15" spans="1:20" ht="33.950000000000003" customHeight="1">
      <c r="A15" s="20">
        <v>11</v>
      </c>
      <c r="B15" s="38" t="s">
        <v>23</v>
      </c>
      <c r="C15" s="5" t="s">
        <v>25</v>
      </c>
      <c r="D15" s="6">
        <v>8</v>
      </c>
      <c r="E15" s="32" t="s">
        <v>9</v>
      </c>
      <c r="F15" s="33" t="s">
        <v>10</v>
      </c>
      <c r="G15" s="83"/>
      <c r="H15" s="83"/>
      <c r="I15" s="83"/>
      <c r="J15" s="83"/>
      <c r="K15" s="83"/>
      <c r="L15" s="83"/>
      <c r="M15" s="83"/>
      <c r="N15" s="83"/>
    </row>
    <row r="16" spans="1:20" ht="33.950000000000003" customHeight="1">
      <c r="A16" s="20">
        <v>12</v>
      </c>
      <c r="B16" s="46" t="s">
        <v>26</v>
      </c>
      <c r="C16" s="5" t="s">
        <v>27</v>
      </c>
      <c r="D16" s="6">
        <v>8</v>
      </c>
      <c r="E16" s="32" t="s">
        <v>9</v>
      </c>
      <c r="F16" s="33" t="s">
        <v>10</v>
      </c>
      <c r="G16" s="83"/>
      <c r="H16" s="83"/>
      <c r="I16" s="83"/>
      <c r="J16" s="83"/>
      <c r="K16" s="83"/>
      <c r="L16" s="83"/>
      <c r="M16" s="83"/>
      <c r="N16" s="83"/>
    </row>
    <row r="17" spans="1:14" ht="33.950000000000003" customHeight="1">
      <c r="A17" s="20">
        <v>13</v>
      </c>
      <c r="B17" s="46" t="s">
        <v>26</v>
      </c>
      <c r="C17" s="5" t="s">
        <v>28</v>
      </c>
      <c r="D17" s="6">
        <v>8</v>
      </c>
      <c r="E17" s="32" t="s">
        <v>9</v>
      </c>
      <c r="F17" s="33" t="s">
        <v>10</v>
      </c>
      <c r="G17" s="83"/>
      <c r="H17" s="83"/>
      <c r="I17" s="83"/>
      <c r="J17" s="83"/>
      <c r="K17" s="83"/>
      <c r="L17" s="83"/>
      <c r="M17" s="83"/>
      <c r="N17" s="83"/>
    </row>
    <row r="18" spans="1:14" ht="33.950000000000003" customHeight="1">
      <c r="A18" s="20">
        <v>14</v>
      </c>
      <c r="B18" s="47" t="s">
        <v>29</v>
      </c>
      <c r="C18" s="5" t="s">
        <v>30</v>
      </c>
      <c r="D18" s="6">
        <v>5</v>
      </c>
      <c r="E18" s="32" t="s">
        <v>9</v>
      </c>
      <c r="F18" s="33" t="s">
        <v>10</v>
      </c>
      <c r="G18" s="83"/>
      <c r="H18" s="83"/>
      <c r="I18" s="83"/>
      <c r="J18" s="83"/>
      <c r="K18" s="83"/>
      <c r="L18" s="83"/>
      <c r="M18" s="83"/>
      <c r="N18" s="83"/>
    </row>
    <row r="19" spans="1:14" ht="33.950000000000003" customHeight="1">
      <c r="A19" s="20">
        <v>15</v>
      </c>
      <c r="B19" s="47" t="s">
        <v>29</v>
      </c>
      <c r="C19" s="5" t="s">
        <v>31</v>
      </c>
      <c r="D19" s="6" t="s">
        <v>63</v>
      </c>
      <c r="E19" s="32" t="s">
        <v>9</v>
      </c>
      <c r="F19" s="33" t="s">
        <v>10</v>
      </c>
      <c r="G19" s="83"/>
      <c r="H19" s="83"/>
      <c r="I19" s="83"/>
      <c r="J19" s="83"/>
      <c r="K19" s="83"/>
      <c r="L19" s="83"/>
      <c r="M19" s="83"/>
      <c r="N19" s="83"/>
    </row>
    <row r="20" spans="1:14" ht="33.950000000000003" customHeight="1">
      <c r="A20" s="21">
        <v>16</v>
      </c>
      <c r="B20" s="44" t="s">
        <v>29</v>
      </c>
      <c r="C20" s="22" t="s">
        <v>32</v>
      </c>
      <c r="D20" s="23">
        <v>5</v>
      </c>
      <c r="E20" s="40" t="s">
        <v>9</v>
      </c>
      <c r="F20" s="41" t="s">
        <v>10</v>
      </c>
      <c r="G20" s="83"/>
      <c r="H20" s="83"/>
      <c r="I20" s="83"/>
      <c r="J20" s="83"/>
      <c r="K20" s="83"/>
      <c r="L20" s="83"/>
      <c r="M20" s="83"/>
      <c r="N20" s="83"/>
    </row>
    <row r="21" spans="1:14" ht="25.5" customHeight="1">
      <c r="A21" s="77" t="s">
        <v>33</v>
      </c>
      <c r="B21" s="77"/>
      <c r="C21" s="77"/>
      <c r="D21" s="77"/>
      <c r="E21" s="77"/>
      <c r="F21" s="77"/>
      <c r="G21" s="83"/>
      <c r="H21" s="83"/>
      <c r="I21" s="83"/>
      <c r="J21" s="83"/>
      <c r="K21" s="83"/>
      <c r="L21" s="83"/>
      <c r="M21" s="83"/>
      <c r="N21" s="83"/>
    </row>
    <row r="22" spans="1:14" ht="36">
      <c r="A22" s="78" t="s">
        <v>34</v>
      </c>
      <c r="B22" s="78" t="s">
        <v>35</v>
      </c>
      <c r="C22" s="78" t="s">
        <v>36</v>
      </c>
      <c r="D22" s="78" t="s">
        <v>37</v>
      </c>
      <c r="E22" s="78" t="s">
        <v>38</v>
      </c>
      <c r="F22" s="78" t="s">
        <v>39</v>
      </c>
      <c r="G22" s="83"/>
      <c r="H22" s="83"/>
      <c r="I22" s="83"/>
      <c r="J22" s="83"/>
      <c r="K22" s="83"/>
      <c r="L22" s="83"/>
      <c r="M22" s="83"/>
      <c r="N22" s="83"/>
    </row>
    <row r="23" spans="1:14" ht="24" customHeight="1">
      <c r="A23" s="84">
        <f>COUNTA(C5:C20)</f>
        <v>16</v>
      </c>
      <c r="B23" s="85">
        <f>SUM(D5:D20)</f>
        <v>84</v>
      </c>
      <c r="C23" s="85">
        <f>COUNTIF(F5:F20,"Essencial")</f>
        <v>14</v>
      </c>
      <c r="D23" s="85">
        <f>COUNTIF(F5:F20,"Importante")</f>
        <v>2</v>
      </c>
      <c r="E23" s="85">
        <f>COUNTIF(E5:E20,"Alta")</f>
        <v>14</v>
      </c>
      <c r="F23" s="86">
        <f>COUNTIF(E5:E20,"Média")</f>
        <v>2</v>
      </c>
      <c r="G23" s="83"/>
      <c r="H23" s="83"/>
      <c r="I23" s="83"/>
      <c r="J23" s="83"/>
      <c r="K23" s="83"/>
      <c r="L23" s="83"/>
      <c r="M23" s="83"/>
      <c r="N23" s="83"/>
    </row>
    <row r="24" spans="1:14">
      <c r="A24" s="82"/>
      <c r="B24" s="82"/>
      <c r="C24" s="82"/>
      <c r="D24" s="82"/>
      <c r="E24" s="82"/>
      <c r="F24" s="82"/>
    </row>
    <row r="25" spans="1:14" ht="27.95" customHeight="1">
      <c r="A25" s="82"/>
      <c r="B25" s="82"/>
      <c r="C25" s="82"/>
      <c r="D25" s="82"/>
      <c r="E25" s="82"/>
      <c r="F25" s="82"/>
      <c r="G25" s="1"/>
    </row>
    <row r="26" spans="1:14">
      <c r="A26" s="82"/>
      <c r="B26" s="82"/>
      <c r="C26" s="82"/>
      <c r="D26" s="82"/>
      <c r="E26" s="82"/>
      <c r="F26" s="82"/>
      <c r="G26" s="1"/>
    </row>
    <row r="27" spans="1:14">
      <c r="A27" s="82"/>
      <c r="B27" s="82">
        <v>1</v>
      </c>
      <c r="C27" s="82"/>
      <c r="D27" s="82"/>
      <c r="E27" s="82"/>
      <c r="F27" s="82"/>
      <c r="G27" s="1"/>
    </row>
    <row r="28" spans="1:14">
      <c r="A28" s="82"/>
      <c r="B28" s="82"/>
      <c r="C28" s="82"/>
      <c r="D28" s="82"/>
      <c r="E28" s="82"/>
      <c r="F28" s="82"/>
      <c r="G28" s="1"/>
    </row>
    <row r="29" spans="1:14">
      <c r="A29" s="82"/>
      <c r="B29" s="82"/>
      <c r="C29" s="82"/>
      <c r="D29" s="82"/>
      <c r="E29" s="82"/>
      <c r="F29" s="82"/>
    </row>
    <row r="30" spans="1:14">
      <c r="A30" s="82"/>
      <c r="B30" s="82"/>
      <c r="C30" s="82"/>
      <c r="D30" s="82"/>
      <c r="E30" s="82"/>
      <c r="F30" s="82"/>
    </row>
    <row r="31" spans="1:14">
      <c r="A31" s="82"/>
      <c r="B31" s="82"/>
      <c r="C31" s="82"/>
      <c r="D31" s="82"/>
      <c r="E31" s="82"/>
      <c r="F31" s="82"/>
    </row>
    <row r="32" spans="1:14">
      <c r="A32" s="82"/>
      <c r="B32" s="82"/>
      <c r="C32" s="82"/>
      <c r="D32" s="82"/>
      <c r="E32" s="82"/>
      <c r="F32" s="82"/>
    </row>
  </sheetData>
  <mergeCells count="4">
    <mergeCell ref="I1:N3"/>
    <mergeCell ref="I9:N9"/>
    <mergeCell ref="A21:F21"/>
    <mergeCell ref="A1:F3"/>
  </mergeCells>
  <conditionalFormatting sqref="D5:D20">
    <cfRule type="dataBar" priority="27">
      <dataBar>
        <cfvo type="min"/>
        <cfvo type="max"/>
        <color rgb="FF16A34A"/>
      </dataBar>
    </cfRule>
    <cfRule type="dataBar" priority="28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{60CC828C-5A00-FC39-1E04-4D261E4BCABC}</x14:id>
        </ext>
      </extLst>
    </cfRule>
  </conditionalFormatting>
  <conditionalFormatting sqref="E5:E20">
    <cfRule type="expression" dxfId="52" priority="22">
      <formula>E5="Alta"</formula>
    </cfRule>
    <cfRule type="expression" dxfId="51" priority="23">
      <formula>E5="Média"</formula>
    </cfRule>
    <cfRule type="expression" dxfId="50" priority="24">
      <formula>E5="Baixa"</formula>
    </cfRule>
  </conditionalFormatting>
  <conditionalFormatting sqref="F5:F20">
    <cfRule type="expression" dxfId="49" priority="25">
      <formula>F5="Essencial"</formula>
    </cfRule>
    <cfRule type="expression" dxfId="48" priority="26">
      <formula>F5="Importante"</formula>
    </cfRule>
  </conditionalFormatting>
  <conditionalFormatting sqref="R6:R7">
    <cfRule type="dataBar" priority="20">
      <dataBar>
        <cfvo type="min"/>
        <cfvo type="max"/>
        <color rgb="FF16A34A"/>
      </dataBar>
    </cfRule>
    <cfRule type="dataBar" priority="2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{A1AB87F5-140F-4E1A-902C-717C5830F299}</x14:id>
        </ext>
      </extLst>
    </cfRule>
  </conditionalFormatting>
  <conditionalFormatting sqref="S6:S7">
    <cfRule type="expression" dxfId="47" priority="15">
      <formula>S6="Alta"</formula>
    </cfRule>
    <cfRule type="expression" dxfId="46" priority="16">
      <formula>S6="Média"</formula>
    </cfRule>
    <cfRule type="expression" dxfId="45" priority="17">
      <formula>S6="Baixa"</formula>
    </cfRule>
  </conditionalFormatting>
  <conditionalFormatting sqref="T6:T7">
    <cfRule type="expression" dxfId="44" priority="18">
      <formula>T6="Essencial"</formula>
    </cfRule>
    <cfRule type="expression" dxfId="43" priority="19">
      <formula>T6="Importante"</formula>
    </cfRule>
  </conditionalFormatting>
  <conditionalFormatting sqref="L5:L6">
    <cfRule type="dataBar" priority="13">
      <dataBar>
        <cfvo type="min"/>
        <cfvo type="max"/>
        <color rgb="FF16A34A"/>
      </dataBar>
    </cfRule>
    <cfRule type="dataBar" priority="14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{C38E2571-659A-4A8B-8348-1BE7D425390B}</x14:id>
        </ext>
      </extLst>
    </cfRule>
  </conditionalFormatting>
  <conditionalFormatting sqref="M5:M6">
    <cfRule type="expression" dxfId="37" priority="8">
      <formula>M5="Alta"</formula>
    </cfRule>
    <cfRule type="expression" dxfId="36" priority="9">
      <formula>M5="Média"</formula>
    </cfRule>
    <cfRule type="expression" dxfId="35" priority="10">
      <formula>M5="Baixa"</formula>
    </cfRule>
  </conditionalFormatting>
  <conditionalFormatting sqref="N5:N6">
    <cfRule type="expression" dxfId="34" priority="11">
      <formula>N5="Essencial"</formula>
    </cfRule>
    <cfRule type="expression" dxfId="33" priority="12">
      <formula>N5="Importante"</formula>
    </cfRule>
  </conditionalFormatting>
  <conditionalFormatting sqref="L7:L8">
    <cfRule type="dataBar" priority="6">
      <dataBar>
        <cfvo type="min"/>
        <cfvo type="max"/>
        <color rgb="FF16A34A"/>
      </dataBar>
    </cfRule>
    <cfRule type="dataBar" priority="7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{F1E3BD19-2061-4A97-A659-CDFC14A8B65D}</x14:id>
        </ext>
      </extLst>
    </cfRule>
  </conditionalFormatting>
  <conditionalFormatting sqref="M7:M8">
    <cfRule type="expression" dxfId="32" priority="1">
      <formula>M7="Alta"</formula>
    </cfRule>
    <cfRule type="expression" dxfId="31" priority="2">
      <formula>M7="Média"</formula>
    </cfRule>
    <cfRule type="expression" dxfId="30" priority="3">
      <formula>M7="Baixa"</formula>
    </cfRule>
  </conditionalFormatting>
  <conditionalFormatting sqref="N7:N8">
    <cfRule type="expression" dxfId="29" priority="4">
      <formula>N7="Essencial"</formula>
    </cfRule>
    <cfRule type="expression" dxfId="28" priority="5">
      <formula>N7="Importante"</formula>
    </cfRule>
  </conditionalFormatting>
  <dataValidations count="3">
    <dataValidation type="list" sqref="E5:E20 S6:S7 M5:M8" xr:uid="{00000000-0002-0000-0000-000000000000}">
      <formula1>"Alta,Média,Baixa"</formula1>
    </dataValidation>
    <dataValidation type="list" sqref="F5:F20 T6:T7 N5:N8" xr:uid="{00000000-0002-0000-0000-000001000000}">
      <formula1>"Essencial,Importante"</formula1>
    </dataValidation>
    <dataValidation type="list" sqref="D5:D20 R6:R7 L5:L8" xr:uid="{00000000-0002-0000-0000-000002000000}">
      <formula1>"1,2,3,5,8,13"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CC828C-5A00-FC39-1E04-4D261E4BCABC}">
            <x14:dataBar>
              <x14:cfvo type="min"/>
              <x14:cfvo type="max"/>
              <x14:negativeFillColor auto="1"/>
              <x14:axisColor auto="1"/>
            </x14:dataBar>
          </x14:cfRule>
          <xm:sqref>D5:D20</xm:sqref>
        </x14:conditionalFormatting>
        <x14:conditionalFormatting xmlns:xm="http://schemas.microsoft.com/office/excel/2006/main">
          <x14:cfRule type="dataBar" id="{A1AB87F5-140F-4E1A-902C-717C5830F299}">
            <x14:dataBar>
              <x14:cfvo type="min"/>
              <x14:cfvo type="max"/>
              <x14:negativeFillColor auto="1"/>
              <x14:axisColor auto="1"/>
            </x14:dataBar>
          </x14:cfRule>
          <xm:sqref>R6:R7</xm:sqref>
        </x14:conditionalFormatting>
        <x14:conditionalFormatting xmlns:xm="http://schemas.microsoft.com/office/excel/2006/main">
          <x14:cfRule type="dataBar" id="{C38E2571-659A-4A8B-8348-1BE7D425390B}">
            <x14:dataBar>
              <x14:cfvo type="min"/>
              <x14:cfvo type="max"/>
              <x14:negativeFillColor auto="1"/>
              <x14:axisColor auto="1"/>
            </x14:dataBar>
          </x14:cfRule>
          <xm:sqref>L5:L6</xm:sqref>
        </x14:conditionalFormatting>
        <x14:conditionalFormatting xmlns:xm="http://schemas.microsoft.com/office/excel/2006/main">
          <x14:cfRule type="dataBar" id="{F1E3BD19-2061-4A97-A659-CDFC14A8B65D}">
            <x14:dataBar>
              <x14:cfvo type="min"/>
              <x14:cfvo type="max"/>
              <x14:negativeFillColor auto="1"/>
              <x14:axisColor auto="1"/>
            </x14:dataBar>
          </x14:cfRule>
          <xm:sqref>L7:L8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workbookViewId="0"/>
  </sheetViews>
  <sheetFormatPr defaultRowHeight="14.25"/>
  <cols>
    <col min="1" max="1" width="7" customWidth="1"/>
    <col min="2" max="2" width="24" customWidth="1"/>
    <col min="3" max="3" width="55" customWidth="1"/>
    <col min="4" max="4" width="12" customWidth="1"/>
    <col min="5" max="5" width="13" customWidth="1"/>
    <col min="6" max="6" width="15" customWidth="1"/>
  </cols>
  <sheetData>
    <row r="1" spans="1:6" ht="30" customHeight="1">
      <c r="A1" s="51" t="s">
        <v>40</v>
      </c>
      <c r="B1" s="51"/>
      <c r="C1" s="51"/>
      <c r="D1" s="51"/>
      <c r="E1" s="51"/>
      <c r="F1" s="51"/>
    </row>
    <row r="2" spans="1:6" ht="20.100000000000001" customHeight="1">
      <c r="A2" s="53" t="s">
        <v>41</v>
      </c>
      <c r="B2" s="53"/>
      <c r="C2" s="53"/>
      <c r="D2" s="53"/>
      <c r="E2" s="53"/>
      <c r="F2" s="53"/>
    </row>
    <row r="3" spans="1:6">
      <c r="A3" s="3"/>
      <c r="B3" s="3"/>
      <c r="C3" s="3"/>
      <c r="D3" s="3"/>
      <c r="E3" s="3"/>
      <c r="F3" s="3"/>
    </row>
    <row r="4" spans="1:6">
      <c r="A4" s="7" t="s">
        <v>42</v>
      </c>
      <c r="B4" s="7" t="s">
        <v>43</v>
      </c>
      <c r="C4" s="7" t="s">
        <v>44</v>
      </c>
      <c r="D4" s="7" t="s">
        <v>45</v>
      </c>
      <c r="E4" s="7" t="s">
        <v>36</v>
      </c>
      <c r="F4" s="7" t="s">
        <v>37</v>
      </c>
    </row>
    <row r="5" spans="1:6">
      <c r="A5" s="8" t="s">
        <v>46</v>
      </c>
      <c r="B5" s="9">
        <v>4</v>
      </c>
      <c r="C5" s="9">
        <v>14</v>
      </c>
      <c r="D5" s="9" t="s">
        <v>47</v>
      </c>
      <c r="E5" s="9">
        <v>2</v>
      </c>
      <c r="F5" s="10">
        <v>2</v>
      </c>
    </row>
    <row r="6" spans="1:6">
      <c r="A6" s="11" t="s">
        <v>48</v>
      </c>
      <c r="B6" s="4">
        <v>4</v>
      </c>
      <c r="C6" s="4">
        <v>23</v>
      </c>
      <c r="D6" s="4" t="s">
        <v>49</v>
      </c>
      <c r="E6" s="4">
        <v>4</v>
      </c>
      <c r="F6" s="12">
        <v>0</v>
      </c>
    </row>
    <row r="7" spans="1:6">
      <c r="A7" s="11" t="s">
        <v>50</v>
      </c>
      <c r="B7" s="4">
        <v>4</v>
      </c>
      <c r="C7" s="4">
        <v>26</v>
      </c>
      <c r="D7" s="4" t="s">
        <v>51</v>
      </c>
      <c r="E7" s="4">
        <v>4</v>
      </c>
      <c r="F7" s="12">
        <v>0</v>
      </c>
    </row>
    <row r="8" spans="1:6">
      <c r="A8" s="13" t="s">
        <v>52</v>
      </c>
      <c r="B8" s="14">
        <v>4</v>
      </c>
      <c r="C8" s="14">
        <v>29</v>
      </c>
      <c r="D8" s="14" t="s">
        <v>53</v>
      </c>
      <c r="E8" s="14">
        <v>4</v>
      </c>
      <c r="F8" s="15">
        <v>0</v>
      </c>
    </row>
    <row r="9" spans="1:6" ht="30" customHeight="1">
      <c r="A9" s="3"/>
      <c r="B9" s="3"/>
      <c r="C9" s="3"/>
      <c r="D9" s="3"/>
      <c r="E9" s="3"/>
      <c r="F9" s="3"/>
    </row>
    <row r="10" spans="1:6" ht="23.1" customHeight="1">
      <c r="A10" s="54" t="s">
        <v>54</v>
      </c>
      <c r="B10" s="54"/>
      <c r="C10" s="54"/>
      <c r="D10" s="54"/>
      <c r="E10" s="54"/>
      <c r="F10" s="54"/>
    </row>
    <row r="11" spans="1:6" ht="21" customHeight="1">
      <c r="A11" s="16" t="s">
        <v>1</v>
      </c>
      <c r="B11" s="16" t="s">
        <v>2</v>
      </c>
      <c r="C11" s="16" t="s">
        <v>3</v>
      </c>
      <c r="D11" s="16" t="s">
        <v>4</v>
      </c>
      <c r="E11" s="16" t="s">
        <v>5</v>
      </c>
      <c r="F11" s="16" t="s">
        <v>6</v>
      </c>
    </row>
    <row r="12" spans="1:6" ht="30" customHeight="1">
      <c r="A12" s="17">
        <v>1</v>
      </c>
      <c r="B12" s="25" t="s">
        <v>19</v>
      </c>
      <c r="C12" s="18" t="s">
        <v>22</v>
      </c>
      <c r="D12" s="19">
        <v>3</v>
      </c>
      <c r="E12" s="26" t="s">
        <v>9</v>
      </c>
      <c r="F12" s="27" t="s">
        <v>10</v>
      </c>
    </row>
    <row r="13" spans="1:6" ht="30" customHeight="1">
      <c r="A13" s="20">
        <v>2</v>
      </c>
      <c r="B13" s="28" t="s">
        <v>19</v>
      </c>
      <c r="C13" s="5" t="s">
        <v>21</v>
      </c>
      <c r="D13" s="6">
        <v>3</v>
      </c>
      <c r="E13" s="29" t="s">
        <v>12</v>
      </c>
      <c r="F13" s="30" t="s">
        <v>13</v>
      </c>
    </row>
    <row r="14" spans="1:6" ht="30" customHeight="1">
      <c r="A14" s="20">
        <v>3</v>
      </c>
      <c r="B14" s="31" t="s">
        <v>7</v>
      </c>
      <c r="C14" s="5" t="s">
        <v>8</v>
      </c>
      <c r="D14" s="6">
        <v>5</v>
      </c>
      <c r="E14" s="32" t="s">
        <v>9</v>
      </c>
      <c r="F14" s="33" t="s">
        <v>10</v>
      </c>
    </row>
    <row r="15" spans="1:6" ht="30" customHeight="1">
      <c r="A15" s="21">
        <v>4</v>
      </c>
      <c r="B15" s="34" t="s">
        <v>7</v>
      </c>
      <c r="C15" s="22" t="s">
        <v>11</v>
      </c>
      <c r="D15" s="23">
        <v>3</v>
      </c>
      <c r="E15" s="35" t="s">
        <v>12</v>
      </c>
      <c r="F15" s="36" t="s">
        <v>13</v>
      </c>
    </row>
    <row r="16" spans="1:6" ht="30" customHeight="1">
      <c r="A16" s="55" t="s">
        <v>55</v>
      </c>
      <c r="B16" s="55"/>
      <c r="C16" s="55"/>
      <c r="D16" s="24">
        <f>SUM(D12:D15)</f>
        <v>14</v>
      </c>
      <c r="E16" s="24" t="str">
        <f>COUNTIF(E12:E15,"Alta")&amp;" altas"</f>
        <v>2 altas</v>
      </c>
      <c r="F16" s="24" t="str">
        <f>COUNTIF(F12:F15,"Essencial")&amp;" essenciais"</f>
        <v>2 essenciais</v>
      </c>
    </row>
    <row r="17" spans="1:6" ht="30" customHeight="1">
      <c r="A17" s="3"/>
      <c r="B17" s="3"/>
      <c r="C17" s="3"/>
      <c r="D17" s="3"/>
      <c r="E17" s="3"/>
      <c r="F17" s="3"/>
    </row>
    <row r="18" spans="1:6" ht="23.1" customHeight="1">
      <c r="A18" s="54" t="s">
        <v>56</v>
      </c>
      <c r="B18" s="54"/>
      <c r="C18" s="54"/>
      <c r="D18" s="54"/>
      <c r="E18" s="54"/>
      <c r="F18" s="54"/>
    </row>
    <row r="19" spans="1:6" ht="21" customHeight="1">
      <c r="A19" s="16" t="s">
        <v>1</v>
      </c>
      <c r="B19" s="16" t="s">
        <v>2</v>
      </c>
      <c r="C19" s="16" t="s">
        <v>3</v>
      </c>
      <c r="D19" s="16" t="s">
        <v>4</v>
      </c>
      <c r="E19" s="16" t="s">
        <v>5</v>
      </c>
      <c r="F19" s="16" t="s">
        <v>6</v>
      </c>
    </row>
    <row r="20" spans="1:6" ht="30" customHeight="1">
      <c r="A20" s="17">
        <v>5</v>
      </c>
      <c r="B20" s="37" t="s">
        <v>7</v>
      </c>
      <c r="C20" s="18" t="s">
        <v>14</v>
      </c>
      <c r="D20" s="19">
        <v>5</v>
      </c>
      <c r="E20" s="26" t="s">
        <v>9</v>
      </c>
      <c r="F20" s="27" t="s">
        <v>10</v>
      </c>
    </row>
    <row r="21" spans="1:6" ht="30" customHeight="1">
      <c r="A21" s="20">
        <v>6</v>
      </c>
      <c r="B21" s="28" t="s">
        <v>19</v>
      </c>
      <c r="C21" s="5" t="s">
        <v>20</v>
      </c>
      <c r="D21" s="6">
        <v>5</v>
      </c>
      <c r="E21" s="32" t="s">
        <v>9</v>
      </c>
      <c r="F21" s="33" t="s">
        <v>10</v>
      </c>
    </row>
    <row r="22" spans="1:6" ht="30" customHeight="1">
      <c r="A22" s="20">
        <v>7</v>
      </c>
      <c r="B22" s="38" t="s">
        <v>23</v>
      </c>
      <c r="C22" s="5" t="s">
        <v>24</v>
      </c>
      <c r="D22" s="6">
        <v>5</v>
      </c>
      <c r="E22" s="32" t="s">
        <v>9</v>
      </c>
      <c r="F22" s="33" t="s">
        <v>10</v>
      </c>
    </row>
    <row r="23" spans="1:6" ht="30" customHeight="1">
      <c r="A23" s="21">
        <v>8</v>
      </c>
      <c r="B23" s="39" t="s">
        <v>23</v>
      </c>
      <c r="C23" s="22" t="s">
        <v>25</v>
      </c>
      <c r="D23" s="23">
        <v>8</v>
      </c>
      <c r="E23" s="40" t="s">
        <v>9</v>
      </c>
      <c r="F23" s="41" t="s">
        <v>10</v>
      </c>
    </row>
    <row r="24" spans="1:6" ht="30" customHeight="1">
      <c r="A24" s="55" t="s">
        <v>57</v>
      </c>
      <c r="B24" s="55"/>
      <c r="C24" s="55"/>
      <c r="D24" s="24">
        <f>SUM(D20:D23)</f>
        <v>23</v>
      </c>
      <c r="E24" s="24" t="str">
        <f>COUNTIF(E20:E23,"Alta")&amp;" altas"</f>
        <v>4 altas</v>
      </c>
      <c r="F24" s="24" t="str">
        <f>COUNTIF(F20:F23,"Essencial")&amp;" essenciais"</f>
        <v>4 essenciais</v>
      </c>
    </row>
    <row r="25" spans="1:6" ht="30" customHeight="1">
      <c r="A25" s="3"/>
      <c r="B25" s="3"/>
      <c r="C25" s="3"/>
      <c r="D25" s="3"/>
      <c r="E25" s="3"/>
      <c r="F25" s="3"/>
    </row>
    <row r="26" spans="1:6" ht="23.1" customHeight="1">
      <c r="A26" s="54" t="s">
        <v>58</v>
      </c>
      <c r="B26" s="54"/>
      <c r="C26" s="54"/>
      <c r="D26" s="54"/>
      <c r="E26" s="54"/>
      <c r="F26" s="54"/>
    </row>
    <row r="27" spans="1:6" ht="21" customHeight="1">
      <c r="A27" s="16" t="s">
        <v>1</v>
      </c>
      <c r="B27" s="16" t="s">
        <v>2</v>
      </c>
      <c r="C27" s="16" t="s">
        <v>3</v>
      </c>
      <c r="D27" s="16" t="s">
        <v>4</v>
      </c>
      <c r="E27" s="16" t="s">
        <v>5</v>
      </c>
      <c r="F27" s="16" t="s">
        <v>6</v>
      </c>
    </row>
    <row r="28" spans="1:6" ht="30" customHeight="1">
      <c r="A28" s="17">
        <v>9</v>
      </c>
      <c r="B28" s="42" t="s">
        <v>15</v>
      </c>
      <c r="C28" s="18" t="s">
        <v>16</v>
      </c>
      <c r="D28" s="19">
        <v>8</v>
      </c>
      <c r="E28" s="26" t="s">
        <v>9</v>
      </c>
      <c r="F28" s="27" t="s">
        <v>10</v>
      </c>
    </row>
    <row r="29" spans="1:6" ht="30" customHeight="1">
      <c r="A29" s="20">
        <v>10</v>
      </c>
      <c r="B29" s="43" t="s">
        <v>15</v>
      </c>
      <c r="C29" s="5" t="s">
        <v>18</v>
      </c>
      <c r="D29" s="6">
        <v>5</v>
      </c>
      <c r="E29" s="32" t="s">
        <v>9</v>
      </c>
      <c r="F29" s="33" t="s">
        <v>10</v>
      </c>
    </row>
    <row r="30" spans="1:6" ht="30" customHeight="1">
      <c r="A30" s="20">
        <v>11</v>
      </c>
      <c r="B30" s="43" t="s">
        <v>15</v>
      </c>
      <c r="C30" s="5" t="s">
        <v>17</v>
      </c>
      <c r="D30" s="6">
        <v>8</v>
      </c>
      <c r="E30" s="32" t="s">
        <v>9</v>
      </c>
      <c r="F30" s="33" t="s">
        <v>10</v>
      </c>
    </row>
    <row r="31" spans="1:6" ht="30" customHeight="1">
      <c r="A31" s="21">
        <v>12</v>
      </c>
      <c r="B31" s="44" t="s">
        <v>29</v>
      </c>
      <c r="C31" s="22" t="s">
        <v>30</v>
      </c>
      <c r="D31" s="23">
        <v>5</v>
      </c>
      <c r="E31" s="40" t="s">
        <v>9</v>
      </c>
      <c r="F31" s="41" t="s">
        <v>10</v>
      </c>
    </row>
    <row r="32" spans="1:6" ht="30" customHeight="1">
      <c r="A32" s="55" t="s">
        <v>59</v>
      </c>
      <c r="B32" s="55"/>
      <c r="C32" s="55"/>
      <c r="D32" s="24">
        <f>SUM(D28:D31)</f>
        <v>26</v>
      </c>
      <c r="E32" s="24" t="str">
        <f>COUNTIF(E28:E31,"Alta")&amp;" altas"</f>
        <v>4 altas</v>
      </c>
      <c r="F32" s="24" t="str">
        <f>COUNTIF(F28:F31,"Essencial")&amp;" essenciais"</f>
        <v>4 essenciais</v>
      </c>
    </row>
    <row r="33" spans="1:6" ht="30" customHeight="1">
      <c r="A33" s="3"/>
      <c r="B33" s="3"/>
      <c r="C33" s="3"/>
      <c r="D33" s="3"/>
      <c r="E33" s="3"/>
      <c r="F33" s="3"/>
    </row>
    <row r="34" spans="1:6" ht="23.1" customHeight="1">
      <c r="A34" s="54" t="s">
        <v>60</v>
      </c>
      <c r="B34" s="54"/>
      <c r="C34" s="54"/>
      <c r="D34" s="54"/>
      <c r="E34" s="54"/>
      <c r="F34" s="54"/>
    </row>
    <row r="35" spans="1:6" ht="21" customHeight="1">
      <c r="A35" s="16" t="s">
        <v>1</v>
      </c>
      <c r="B35" s="16" t="s">
        <v>2</v>
      </c>
      <c r="C35" s="16" t="s">
        <v>3</v>
      </c>
      <c r="D35" s="16" t="s">
        <v>4</v>
      </c>
      <c r="E35" s="16" t="s">
        <v>5</v>
      </c>
      <c r="F35" s="16" t="s">
        <v>6</v>
      </c>
    </row>
    <row r="36" spans="1:6" ht="30" customHeight="1">
      <c r="A36" s="17">
        <v>13</v>
      </c>
      <c r="B36" s="45" t="s">
        <v>26</v>
      </c>
      <c r="C36" s="18" t="s">
        <v>27</v>
      </c>
      <c r="D36" s="19">
        <v>8</v>
      </c>
      <c r="E36" s="26" t="s">
        <v>9</v>
      </c>
      <c r="F36" s="27" t="s">
        <v>10</v>
      </c>
    </row>
    <row r="37" spans="1:6" ht="30" customHeight="1">
      <c r="A37" s="20">
        <v>14</v>
      </c>
      <c r="B37" s="46" t="s">
        <v>26</v>
      </c>
      <c r="C37" s="5" t="s">
        <v>28</v>
      </c>
      <c r="D37" s="6">
        <v>8</v>
      </c>
      <c r="E37" s="32" t="s">
        <v>9</v>
      </c>
      <c r="F37" s="33" t="s">
        <v>10</v>
      </c>
    </row>
    <row r="38" spans="1:6" ht="30" customHeight="1">
      <c r="A38" s="20">
        <v>15</v>
      </c>
      <c r="B38" s="47" t="s">
        <v>29</v>
      </c>
      <c r="C38" s="5" t="s">
        <v>31</v>
      </c>
      <c r="D38" s="6">
        <v>8</v>
      </c>
      <c r="E38" s="32" t="s">
        <v>9</v>
      </c>
      <c r="F38" s="33" t="s">
        <v>10</v>
      </c>
    </row>
    <row r="39" spans="1:6" ht="30" customHeight="1">
      <c r="A39" s="21">
        <v>16</v>
      </c>
      <c r="B39" s="44" t="s">
        <v>29</v>
      </c>
      <c r="C39" s="22" t="s">
        <v>32</v>
      </c>
      <c r="D39" s="23">
        <v>5</v>
      </c>
      <c r="E39" s="40" t="s">
        <v>9</v>
      </c>
      <c r="F39" s="41" t="s">
        <v>10</v>
      </c>
    </row>
    <row r="40" spans="1:6" ht="30" customHeight="1">
      <c r="A40" s="55" t="s">
        <v>61</v>
      </c>
      <c r="B40" s="55"/>
      <c r="C40" s="55"/>
      <c r="D40" s="24">
        <f>SUM(D36:D39)</f>
        <v>29</v>
      </c>
      <c r="E40" s="24" t="str">
        <f>COUNTIF(E36:E39,"Alta")&amp;" altas"</f>
        <v>4 altas</v>
      </c>
      <c r="F40" s="24" t="str">
        <f>COUNTIF(F36:F39,"Essencial")&amp;" essenciais"</f>
        <v>4 essenciais</v>
      </c>
    </row>
    <row r="41" spans="1:6" ht="30" customHeight="1">
      <c r="A41" s="3"/>
      <c r="B41" s="3"/>
      <c r="C41" s="3"/>
      <c r="D41" s="3"/>
      <c r="E41" s="3"/>
      <c r="F41" s="3"/>
    </row>
    <row r="42" spans="1:6" ht="30" customHeight="1">
      <c r="A42" s="52" t="s">
        <v>62</v>
      </c>
      <c r="B42" s="52"/>
      <c r="C42" s="52"/>
      <c r="D42" s="52"/>
      <c r="E42" s="52"/>
      <c r="F42" s="52"/>
    </row>
    <row r="43" spans="1:6" ht="30" customHeight="1">
      <c r="A43" s="52"/>
      <c r="B43" s="52"/>
      <c r="C43" s="52"/>
      <c r="D43" s="52"/>
      <c r="E43" s="52"/>
      <c r="F43" s="52"/>
    </row>
  </sheetData>
  <mergeCells count="11">
    <mergeCell ref="A42:F43"/>
    <mergeCell ref="A24:C24"/>
    <mergeCell ref="A26:F26"/>
    <mergeCell ref="A32:C32"/>
    <mergeCell ref="A34:F34"/>
    <mergeCell ref="A40:C40"/>
    <mergeCell ref="A1:F1"/>
    <mergeCell ref="A2:F2"/>
    <mergeCell ref="A10:F10"/>
    <mergeCell ref="A16:C16"/>
    <mergeCell ref="A18:F18"/>
  </mergeCells>
  <conditionalFormatting sqref="D12:D15">
    <cfRule type="dataBar" priority="2">
      <dataBar>
        <cfvo type="min"/>
        <cfvo type="max"/>
        <color rgb="FF16A34A"/>
      </dataBar>
    </cfRule>
    <cfRule type="dataBar" priority="26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{46ED20BA-FE8D-3D36-2DD5-AA361E989133}</x14:id>
        </ext>
      </extLst>
    </cfRule>
  </conditionalFormatting>
  <conditionalFormatting sqref="D20:D23">
    <cfRule type="dataBar" priority="8">
      <dataBar>
        <cfvo type="min"/>
        <cfvo type="max"/>
        <color rgb="FF10B981"/>
      </dataBar>
    </cfRule>
    <cfRule type="dataBar" priority="27">
      <dataBar>
        <cfvo type="min"/>
        <cfvo type="max"/>
        <color rgb="FF10B981"/>
      </dataBar>
      <extLst>
        <ext xmlns:x14="http://schemas.microsoft.com/office/spreadsheetml/2009/9/main" uri="{B025F937-C7B1-47D3-B67F-A62EFF666E3E}">
          <x14:id>{CB3E66B2-1FB4-85F6-0834-F73E285785C6}</x14:id>
        </ext>
      </extLst>
    </cfRule>
  </conditionalFormatting>
  <conditionalFormatting sqref="D28:D31">
    <cfRule type="dataBar" priority="14">
      <dataBar>
        <cfvo type="min"/>
        <cfvo type="max"/>
        <color rgb="FF84CC16"/>
      </dataBar>
    </cfRule>
    <cfRule type="dataBar" priority="28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{40B1D92F-01E6-FB7E-4AD3-24970C838B94}</x14:id>
        </ext>
      </extLst>
    </cfRule>
  </conditionalFormatting>
  <conditionalFormatting sqref="D36:D39">
    <cfRule type="dataBar" priority="20">
      <dataBar>
        <cfvo type="min"/>
        <cfvo type="max"/>
        <color rgb="FF0D9488"/>
      </dataBar>
    </cfRule>
    <cfRule type="dataBar" priority="29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{1355D8BA-9220-50A2-7E08-71175A9DA139}</x14:id>
        </ext>
      </extLst>
    </cfRule>
  </conditionalFormatting>
  <conditionalFormatting sqref="E12:E15">
    <cfRule type="expression" dxfId="27" priority="3">
      <formula>E12="Alta"</formula>
    </cfRule>
    <cfRule type="expression" dxfId="26" priority="4">
      <formula>E12="Média"</formula>
    </cfRule>
    <cfRule type="expression" dxfId="25" priority="5">
      <formula>E12="Baixa"</formula>
    </cfRule>
  </conditionalFormatting>
  <conditionalFormatting sqref="E20:E23">
    <cfRule type="expression" dxfId="24" priority="9">
      <formula>E20="Alta"</formula>
    </cfRule>
    <cfRule type="expression" dxfId="23" priority="10">
      <formula>E20="Média"</formula>
    </cfRule>
    <cfRule type="expression" dxfId="22" priority="11">
      <formula>E20="Baixa"</formula>
    </cfRule>
  </conditionalFormatting>
  <conditionalFormatting sqref="E28:E31">
    <cfRule type="expression" dxfId="21" priority="15">
      <formula>E28="Alta"</formula>
    </cfRule>
    <cfRule type="expression" dxfId="20" priority="16">
      <formula>E28="Média"</formula>
    </cfRule>
    <cfRule type="expression" dxfId="19" priority="17">
      <formula>E28="Baixa"</formula>
    </cfRule>
  </conditionalFormatting>
  <conditionalFormatting sqref="E36:E39">
    <cfRule type="expression" dxfId="18" priority="21">
      <formula>E36="Alta"</formula>
    </cfRule>
    <cfRule type="expression" dxfId="17" priority="22">
      <formula>E36="Média"</formula>
    </cfRule>
    <cfRule type="expression" dxfId="16" priority="23">
      <formula>E36="Baixa"</formula>
    </cfRule>
  </conditionalFormatting>
  <conditionalFormatting sqref="F12:F15">
    <cfRule type="expression" dxfId="15" priority="6">
      <formula>F12="Essencial"</formula>
    </cfRule>
    <cfRule type="expression" dxfId="14" priority="7">
      <formula>F12="Importante"</formula>
    </cfRule>
  </conditionalFormatting>
  <conditionalFormatting sqref="F20:F23">
    <cfRule type="expression" dxfId="13" priority="12">
      <formula>F20="Essencial"</formula>
    </cfRule>
    <cfRule type="expression" dxfId="12" priority="13">
      <formula>F20="Importante"</formula>
    </cfRule>
  </conditionalFormatting>
  <conditionalFormatting sqref="F28:F31">
    <cfRule type="expression" dxfId="11" priority="18">
      <formula>F28="Essencial"</formula>
    </cfRule>
    <cfRule type="expression" dxfId="10" priority="19">
      <formula>F28="Importante"</formula>
    </cfRule>
  </conditionalFormatting>
  <conditionalFormatting sqref="F36:F39">
    <cfRule type="expression" dxfId="9" priority="24">
      <formula>F36="Essencial"</formula>
    </cfRule>
    <cfRule type="expression" dxfId="8" priority="25">
      <formula>F36="Importante"</formula>
    </cfRule>
  </conditionalFormatting>
  <dataValidations count="3">
    <dataValidation type="list" sqref="D12:D15 D36:D39 D28:D31 D20:D23" xr:uid="{00000000-0002-0000-0100-000000000000}">
      <formula1>"1,2,3,5,8,13"</formula1>
    </dataValidation>
    <dataValidation type="list" sqref="E12:E15 E36:E39 E28:E31 E20:E23" xr:uid="{00000000-0002-0000-0100-000001000000}">
      <formula1>"Alta,Média,Baixa"</formula1>
    </dataValidation>
    <dataValidation type="list" sqref="F12:F15 F36:F39 F28:F31 F20:F23" xr:uid="{00000000-0002-0000-0100-000002000000}">
      <formula1>"Essencial,Importante"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ED20BA-FE8D-3D36-2DD5-AA361E989133}">
            <x14:dataBar>
              <x14:cfvo type="min"/>
              <x14:cfvo type="max"/>
              <x14:negativeFillColor auto="1"/>
              <x14:axisColor auto="1"/>
            </x14:dataBar>
          </x14:cfRule>
          <xm:sqref>D12:D15</xm:sqref>
        </x14:conditionalFormatting>
        <x14:conditionalFormatting xmlns:xm="http://schemas.microsoft.com/office/excel/2006/main">
          <x14:cfRule type="dataBar" id="{CB3E66B2-1FB4-85F6-0834-F73E285785C6}">
            <x14:dataBar>
              <x14:cfvo type="min"/>
              <x14:cfvo type="max"/>
              <x14:negativeFillColor auto="1"/>
              <x14:axisColor auto="1"/>
            </x14:dataBar>
          </x14:cfRule>
          <xm:sqref>D20:D23</xm:sqref>
        </x14:conditionalFormatting>
        <x14:conditionalFormatting xmlns:xm="http://schemas.microsoft.com/office/excel/2006/main">
          <x14:cfRule type="dataBar" id="{40B1D92F-01E6-FB7E-4AD3-24970C838B94}">
            <x14:dataBar>
              <x14:cfvo type="min"/>
              <x14:cfvo type="max"/>
              <x14:negativeFillColor auto="1"/>
              <x14:axisColor auto="1"/>
            </x14:dataBar>
          </x14:cfRule>
          <xm:sqref>D28:D31</xm:sqref>
        </x14:conditionalFormatting>
        <x14:conditionalFormatting xmlns:xm="http://schemas.microsoft.com/office/excel/2006/main">
          <x14:cfRule type="dataBar" id="{1355D8BA-9220-50A2-7E08-71175A9DA139}">
            <x14:dataBar>
              <x14:cfvo type="min"/>
              <x14:cfvo type="max"/>
              <x14:negativeFillColor auto="1"/>
              <x14:axisColor auto="1"/>
            </x14:dataBar>
          </x14:cfRule>
          <xm:sqref>D36:D39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 Sprint 2</vt:lpstr>
      <vt:lpstr>Backlog 2A-2D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DIAS MÓRI</cp:lastModifiedBy>
  <dcterms:created xsi:type="dcterms:W3CDTF">2026-09-18T20:27:04Z</dcterms:created>
  <dcterms:modified xsi:type="dcterms:W3CDTF">2026-09-18T20:27:28Z</dcterms:modified>
</cp:coreProperties>
</file>